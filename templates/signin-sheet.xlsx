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簽到表" sheetId="1" state="visible" r:id="rId3"/>
  </sheets>
  <definedNames>
    <definedName function="false" hidden="false" localSheetId="0" name="_xlnm.Print_Titles" vbProcedure="false">簽到表!$5:$5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<sst xmlns="http://schemas.openxmlformats.org/spreadsheetml/2006/main" count="25" uniqueCount="25">
  <si>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一拍即合｜工作人員簽到表</t>
  </si>
  <si>
    <t xml:space="preserve">活動名稱</t>
  </si>
  <si>
    <t xml:space="preserve">日期</t>
  </si>
  <si>
    <t xml:space="preserve">主辦單位</t>
  </si>
  <si>
    <t xml:space="preserve">職務</t>
  </si>
  <si>
    <t xml:space="preserve">表定時間</t>
  </si>
  <si>
    <t xml:space="preserve">集合點</t>
  </si>
  <si>
    <t xml:space="preserve">序號</t>
  </si>
  <si>
    <t xml:space="preserve">姓名</t>
  </si>
  <si>
    <t xml:space="preserve">聯絡電話</t>
  </si>
  <si>
    <t xml:space="preserve">簽到</t>
  </si>
  <si>
    <t xml:space="preserve">簽退</t>
  </si>
  <si>
    <r>
      <rPr>
        <b val="true"/>
        <sz val="11"/>
        <color rgb="FF1F2328"/>
        <rFont val="Noto Sans CJK SC"/>
        <family val="2"/>
      </rPr>
      <t xml:space="preserve">休息</t>
    </r>
    <r>
      <rPr>
        <b val="true"/>
        <sz val="11"/>
        <color rgb="FF1F2328"/>
        <rFont val="Microsoft JhengHei"/>
        <family val="0"/>
        <charset val="1"/>
      </rPr>
      <t xml:space="preserve">(</t>
    </r>
    <r>
      <rPr>
        <b val="true"/>
        <sz val="11"/>
        <color rgb="FF1F2328"/>
        <rFont val="Noto Sans CJK SC"/>
        <family val="2"/>
      </rPr>
      <t xml:space="preserve">分</t>
    </r>
    <r>
      <rPr>
        <b val="true"/>
        <sz val="11"/>
        <color rgb="FF1F2328"/>
        <rFont val="Microsoft JhengHei"/>
        <family val="0"/>
        <charset val="1"/>
      </rPr>
      <t xml:space="preserve">)</t>
    </r>
  </si>
  <si>
    <r>
      <rPr>
        <b val="true"/>
        <sz val="11"/>
        <color rgb="FF1F2328"/>
        <rFont val="Noto Sans CJK SC"/>
        <family val="2"/>
      </rPr>
      <t xml:space="preserve">工時</t>
    </r>
    <r>
      <rPr>
        <b val="true"/>
        <sz val="11"/>
        <color rgb="FF1F2328"/>
        <rFont val="Microsoft JhengHei"/>
        <family val="0"/>
        <charset val="1"/>
      </rPr>
      <t xml:space="preserve">(</t>
    </r>
    <r>
      <rPr>
        <b val="true"/>
        <sz val="11"/>
        <color rgb="FF1F2328"/>
        <rFont val="Noto Sans CJK SC"/>
        <family val="2"/>
      </rPr>
      <t xml:space="preserve">時</t>
    </r>
    <r>
      <rPr>
        <b val="true"/>
        <sz val="11"/>
        <color rgb="FF1F2328"/>
        <rFont val="Microsoft JhengHei"/>
        <family val="0"/>
        <charset val="1"/>
      </rPr>
      <t xml:space="preserve">)</t>
    </r>
  </si>
  <si>
    <t xml:space="preserve">單價</t>
  </si>
  <si>
    <t xml:space="preserve">計薪</t>
  </si>
  <si>
    <t xml:space="preserve">應付金額</t>
  </si>
  <si>
    <t xml:space="preserve">簽名</t>
  </si>
  <si>
    <t xml:space="preserve">王小明（範例）</t>
  </si>
  <si>
    <t xml:space="preserve">0912-345-678</t>
  </si>
  <si>
    <t xml:space="preserve">時薪</t>
  </si>
  <si>
    <t xml:space="preserve">合計</t>
  </si>
  <si>
    <t xml:space="preserve">現場負責人簽名：＿＿＿＿＿＿＿＿＿＿＿＿　　日期：＿＿＿＿＿＿＿＿</t>
  </si>
  <si>
    <r>
      <rPr>
        <sz val="10"/>
        <color rgb="FF5F6670"/>
        <rFont val="Noto Sans CJK SC"/>
        <family val="2"/>
      </rPr>
      <t xml:space="preserve">填寫說明：黃色格子請填寫；工時（扣掉休息）和應付金額會自動計算，跨夜班也算得出來。計薪填「時薪」或「日薪」。藍色第一列是範例（單價 </t>
    </r>
    <r>
      <rPr>
        <sz val="10"/>
        <color rgb="FF5F6670"/>
        <rFont val="Microsoft JhengHei"/>
        <family val="0"/>
        <charset val="1"/>
      </rPr>
      <t xml:space="preserve">196 </t>
    </r>
    <r>
      <rPr>
        <sz val="10"/>
        <color rgb="FF5F6670"/>
        <rFont val="Noto Sans CJK SC"/>
        <family val="2"/>
      </rPr>
      <t xml:space="preserve">元為 </t>
    </r>
    <r>
      <rPr>
        <sz val="10"/>
        <color rgb="FF5F6670"/>
        <rFont val="Microsoft JhengHei"/>
        <family val="0"/>
        <charset val="1"/>
      </rPr>
      <t xml:space="preserve">2026 </t>
    </r>
    <r>
      <rPr>
        <sz val="10"/>
        <color rgb="FF5F6670"/>
        <rFont val="Noto Sans CJK SC"/>
        <family val="2"/>
      </rPr>
      <t xml:space="preserve">年基本工資時薪，僅供示意），可直接覆蓋。</t>
    </r>
  </si>
  <si>
    <r>
      <rPr>
        <sz val="10"/>
        <color rgb="FFB83E0C"/>
        <rFont val="Noto Sans CJK SC"/>
        <family val="2"/>
      </rPr>
      <t xml:space="preserve">用一拍即合刊登活動，錄取名單、簽到簽退時間和工時會自動帶進簽到表：</t>
    </r>
    <r>
      <rPr>
        <sz val="10"/>
        <color rgb="FFB83E0C"/>
        <rFont val="Microsoft JhengHei"/>
        <family val="0"/>
        <charset val="1"/>
      </rPr>
      <t xml:space="preserve">eason4546.github.io/yipaijihe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</si>
</sst>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"/>
    <numFmt numFmtId="166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328"/>
      <name val="Noto Sans CJK SC"/>
      <family val="2"/>
    </font>
    <font>
      <b val="true"/>
      <sz val="11"/>
      <color rgb="FF1F2328"/>
      <name val="Noto Sans CJK SC"/>
      <family val="2"/>
    </font>
    <font>
      <sz val="11"/>
      <color rgb="FF1F2328"/>
      <name val="Microsoft JhengHei"/>
      <family val="0"/>
      <charset val="1"/>
    </font>
    <font>
      <b val="true"/>
      <sz val="11"/>
      <color rgb="FF1F2328"/>
      <name val="Microsoft JhengHei"/>
      <family val="0"/>
      <charset val="1"/>
    </font>
    <font>
      <sz val="11"/>
      <color rgb="FF1F2328"/>
      <name val="Noto Sans CJK SC"/>
      <family val="2"/>
    </font>
    <font>
      <sz val="10"/>
      <color rgb="FF5F6670"/>
      <name val="Noto Sans CJK SC"/>
      <family val="2"/>
    </font>
    <font>
      <sz val="10"/>
      <color rgb="FF5F6670"/>
      <name val="Microsoft JhengHei"/>
      <family val="0"/>
      <charset val="1"/>
    </font>
    <font>
      <sz val="10"/>
      <color rgb="FFB83E0C"/>
      <name val="Noto Sans CJK SC"/>
      <family val="2"/>
    </font>
    <font>
      <sz val="10"/>
      <color rgb="FFB83E0C"/>
      <name val="Microsoft JhengHe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6F7F9"/>
        <bgColor rgb="FFEEF2FD"/>
      </patternFill>
    </fill>
    <fill>
      <patternFill patternType="solid">
        <fgColor rgb="FFFFF6D6"/>
        <bgColor rgb="FFF6F7F9"/>
      </patternFill>
    </fill>
    <fill>
      <patternFill patternType="solid">
        <fgColor rgb="FFEEF2FD"/>
        <bgColor rgb="FFF6F7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A1AA"/>
      </left>
      <right style="thin">
        <color rgb="FF9AA1AA"/>
      </right>
      <top style="thin">
        <color rgb="FF9AA1AA"/>
      </top>
      <bottom style="thin">
        <color rgb="FF9AA1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6F7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6"/>
      <rgbColor rgb="FFEEF2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6670"/>
      <rgbColor rgb="FF9AA1AA"/>
      <rgbColor rgb="FF003366"/>
      <rgbColor rgb="FF339966"/>
      <rgbColor rgb="FF003300"/>
      <rgbColor rgb="FF333300"/>
      <rgbColor rgb="FFB83E0C"/>
      <rgbColor rgb="FF993366"/>
      <rgbColor rgb="FF333399"/>
      <rgbColor rgb="FF1F23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8" min="4" style="0" width="9"/>
    <col collapsed="false" customWidth="true" hidden="false" outlineLevel="0" max="9" min="9" style="0" width="8"/>
    <col collapsed="false" customWidth="true" hidden="false" outlineLevel="0" max="10" min="10" style="0" width="11"/>
    <col collapsed="false" customWidth="true" hidden="false" outlineLevel="0" max="11" min="11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2.8" hidden="false" customHeight="false" outlineLevel="0" collapsed="false">
      <c r="A2" s="2" t="s">
        <v>1</v>
      </c>
      <c r="B2" s="3"/>
      <c r="C2" s="3"/>
      <c r="D2" s="3"/>
      <c r="E2" s="3"/>
      <c r="F2" s="2" t="s">
        <v>2</v>
      </c>
      <c r="G2" s="3"/>
      <c r="H2" s="3"/>
      <c r="I2" s="2" t="s">
        <v>3</v>
      </c>
      <c r="J2" s="3"/>
      <c r="K2" s="3"/>
    </row>
    <row r="3" customFormat="false" ht="17.15" hidden="false" customHeight="false" outlineLevel="0" collapsed="false">
      <c r="A3" s="2" t="s">
        <v>4</v>
      </c>
      <c r="B3" s="3"/>
      <c r="C3" s="3"/>
      <c r="D3" s="3"/>
      <c r="E3" s="3"/>
      <c r="F3" s="2" t="s">
        <v>5</v>
      </c>
      <c r="G3" s="3"/>
      <c r="H3" s="3"/>
      <c r="I3" s="2" t="s">
        <v>6</v>
      </c>
      <c r="J3" s="3"/>
      <c r="K3" s="3"/>
    </row>
    <row r="5" customFormat="false" ht="24" hidden="false" customHeight="true" outlineLevel="0" collapsed="false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</row>
    <row r="6" customFormat="false" ht="25.5" hidden="false" customHeight="true" outlineLevel="0" collapsed="false">
      <c r="A6" s="4" t="n">
        <v>1</v>
      </c>
      <c r="B6" s="5" t="s">
        <v>18</v>
      </c>
      <c r="C6" s="4" t="s">
        <v>19</v>
      </c>
      <c r="D6" s="6" t="n">
        <v>0.333333333333333</v>
      </c>
      <c r="E6" s="6" t="n">
        <v>0.729166666666667</v>
      </c>
      <c r="F6" s="4" t="n">
        <v>60</v>
      </c>
      <c r="G6" s="4" t="n">
        <f aca="false">IF(AND(D6&lt;&gt;"",E6&lt;&gt;""),ROUND((MOD(E6-D6,1)*24*60-N(F6))/60,2),"")</f>
        <v>8.5</v>
      </c>
      <c r="H6" s="7" t="n">
        <v>196</v>
      </c>
      <c r="I6" s="5" t="s">
        <v>20</v>
      </c>
      <c r="J6" s="7" t="n">
        <f aca="false">IF(OR(H6="",AND(I6&lt;&gt;"日薪",G6="")),"",IF(I6="日薪",H6,ROUND(G6*H6,0)))</f>
        <v>1666</v>
      </c>
      <c r="K6" s="4"/>
    </row>
    <row r="7" customFormat="false" ht="25.5" hidden="false" customHeight="true" outlineLevel="0" collapsed="false">
      <c r="A7" s="8" t="n">
        <v>2</v>
      </c>
      <c r="B7" s="9"/>
      <c r="C7" s="9"/>
      <c r="D7" s="10"/>
      <c r="E7" s="10"/>
      <c r="F7" s="9"/>
      <c r="G7" s="8" t="str">
        <f aca="false">IF(AND(D7&lt;&gt;"",E7&lt;&gt;""),ROUND((MOD(E7-D7,1)*24*60-N(F7))/60,2),"")</f>
        <v/>
      </c>
      <c r="H7" s="11"/>
      <c r="I7" s="9"/>
      <c r="J7" s="12" t="str">
        <f aca="false">IF(OR(H7="",AND(I7&lt;&gt;"日薪",G7="")),"",IF(I7="日薪",H7,ROUND(G7*H7,0)))</f>
        <v/>
      </c>
      <c r="K7" s="8"/>
    </row>
    <row r="8" customFormat="false" ht="25.5" hidden="false" customHeight="true" outlineLevel="0" collapsed="false">
      <c r="A8" s="8" t="n">
        <v>3</v>
      </c>
      <c r="B8" s="9"/>
      <c r="C8" s="9"/>
      <c r="D8" s="10"/>
      <c r="E8" s="10"/>
      <c r="F8" s="9"/>
      <c r="G8" s="8" t="str">
        <f aca="false">IF(AND(D8&lt;&gt;"",E8&lt;&gt;""),ROUND((MOD(E8-D8,1)*24*60-N(F8))/60,2),"")</f>
        <v/>
      </c>
      <c r="H8" s="11"/>
      <c r="I8" s="9"/>
      <c r="J8" s="12" t="str">
        <f aca="false">IF(OR(H8="",AND(I8&lt;&gt;"日薪",G8="")),"",IF(I8="日薪",H8,ROUND(G8*H8,0)))</f>
        <v/>
      </c>
      <c r="K8" s="8"/>
    </row>
    <row r="9" customFormat="false" ht="25.5" hidden="false" customHeight="true" outlineLevel="0" collapsed="false">
      <c r="A9" s="8" t="n">
        <v>4</v>
      </c>
      <c r="B9" s="9"/>
      <c r="C9" s="9"/>
      <c r="D9" s="10"/>
      <c r="E9" s="10"/>
      <c r="F9" s="9"/>
      <c r="G9" s="8" t="str">
        <f aca="false">IF(AND(D9&lt;&gt;"",E9&lt;&gt;""),ROUND((MOD(E9-D9,1)*24*60-N(F9))/60,2),"")</f>
        <v/>
      </c>
      <c r="H9" s="11"/>
      <c r="I9" s="9"/>
      <c r="J9" s="12" t="str">
        <f aca="false">IF(OR(H9="",AND(I9&lt;&gt;"日薪",G9="")),"",IF(I9="日薪",H9,ROUND(G9*H9,0)))</f>
        <v/>
      </c>
      <c r="K9" s="8"/>
    </row>
    <row r="10" customFormat="false" ht="25.5" hidden="false" customHeight="true" outlineLevel="0" collapsed="false">
      <c r="A10" s="8" t="n">
        <v>5</v>
      </c>
      <c r="B10" s="9"/>
      <c r="C10" s="9"/>
      <c r="D10" s="10"/>
      <c r="E10" s="10"/>
      <c r="F10" s="9"/>
      <c r="G10" s="8" t="str">
        <f aca="false">IF(AND(D10&lt;&gt;"",E10&lt;&gt;""),ROUND((MOD(E10-D10,1)*24*60-N(F10))/60,2),"")</f>
        <v/>
      </c>
      <c r="H10" s="11"/>
      <c r="I10" s="9"/>
      <c r="J10" s="12" t="str">
        <f aca="false">IF(OR(H10="",AND(I10&lt;&gt;"日薪",G10="")),"",IF(I10="日薪",H10,ROUND(G10*H10,0)))</f>
        <v/>
      </c>
      <c r="K10" s="8"/>
    </row>
    <row r="11" customFormat="false" ht="25.5" hidden="false" customHeight="true" outlineLevel="0" collapsed="false">
      <c r="A11" s="8" t="n">
        <v>6</v>
      </c>
      <c r="B11" s="9"/>
      <c r="C11" s="9"/>
      <c r="D11" s="10"/>
      <c r="E11" s="10"/>
      <c r="F11" s="9"/>
      <c r="G11" s="8" t="str">
        <f aca="false">IF(AND(D11&lt;&gt;"",E11&lt;&gt;""),ROUND((MOD(E11-D11,1)*24*60-N(F11))/60,2),"")</f>
        <v/>
      </c>
      <c r="H11" s="11"/>
      <c r="I11" s="9"/>
      <c r="J11" s="12" t="str">
        <f aca="false">IF(OR(H11="",AND(I11&lt;&gt;"日薪",G11="")),"",IF(I11="日薪",H11,ROUND(G11*H11,0)))</f>
        <v/>
      </c>
      <c r="K11" s="8"/>
    </row>
    <row r="12" customFormat="false" ht="25.5" hidden="false" customHeight="true" outlineLevel="0" collapsed="false">
      <c r="A12" s="8" t="n">
        <v>7</v>
      </c>
      <c r="B12" s="9"/>
      <c r="C12" s="9"/>
      <c r="D12" s="10"/>
      <c r="E12" s="10"/>
      <c r="F12" s="9"/>
      <c r="G12" s="8" t="str">
        <f aca="false">IF(AND(D12&lt;&gt;"",E12&lt;&gt;""),ROUND((MOD(E12-D12,1)*24*60-N(F12))/60,2),"")</f>
        <v/>
      </c>
      <c r="H12" s="11"/>
      <c r="I12" s="9"/>
      <c r="J12" s="12" t="str">
        <f aca="false">IF(OR(H12="",AND(I12&lt;&gt;"日薪",G12="")),"",IF(I12="日薪",H12,ROUND(G12*H12,0)))</f>
        <v/>
      </c>
      <c r="K12" s="8"/>
    </row>
    <row r="13" customFormat="false" ht="25.5" hidden="false" customHeight="true" outlineLevel="0" collapsed="false">
      <c r="A13" s="8" t="n">
        <v>8</v>
      </c>
      <c r="B13" s="9"/>
      <c r="C13" s="9"/>
      <c r="D13" s="10"/>
      <c r="E13" s="10"/>
      <c r="F13" s="9"/>
      <c r="G13" s="8" t="str">
        <f aca="false">IF(AND(D13&lt;&gt;"",E13&lt;&gt;""),ROUND((MOD(E13-D13,1)*24*60-N(F13))/60,2),"")</f>
        <v/>
      </c>
      <c r="H13" s="11"/>
      <c r="I13" s="9"/>
      <c r="J13" s="12" t="str">
        <f aca="false">IF(OR(H13="",AND(I13&lt;&gt;"日薪",G13="")),"",IF(I13="日薪",H13,ROUND(G13*H13,0)))</f>
        <v/>
      </c>
      <c r="K13" s="8"/>
    </row>
    <row r="14" customFormat="false" ht="25.5" hidden="false" customHeight="true" outlineLevel="0" collapsed="false">
      <c r="A14" s="8" t="n">
        <v>9</v>
      </c>
      <c r="B14" s="9"/>
      <c r="C14" s="9"/>
      <c r="D14" s="10"/>
      <c r="E14" s="10"/>
      <c r="F14" s="9"/>
      <c r="G14" s="8" t="str">
        <f aca="false">IF(AND(D14&lt;&gt;"",E14&lt;&gt;""),ROUND((MOD(E14-D14,1)*24*60-N(F14))/60,2),"")</f>
        <v/>
      </c>
      <c r="H14" s="11"/>
      <c r="I14" s="9"/>
      <c r="J14" s="12" t="str">
        <f aca="false">IF(OR(H14="",AND(I14&lt;&gt;"日薪",G14="")),"",IF(I14="日薪",H14,ROUND(G14*H14,0)))</f>
        <v/>
      </c>
      <c r="K14" s="8"/>
    </row>
    <row r="15" customFormat="false" ht="25.5" hidden="false" customHeight="true" outlineLevel="0" collapsed="false">
      <c r="A15" s="8" t="n">
        <v>10</v>
      </c>
      <c r="B15" s="9"/>
      <c r="C15" s="9"/>
      <c r="D15" s="10"/>
      <c r="E15" s="10"/>
      <c r="F15" s="9"/>
      <c r="G15" s="8" t="str">
        <f aca="false">IF(AND(D15&lt;&gt;"",E15&lt;&gt;""),ROUND((MOD(E15-D15,1)*24*60-N(F15))/60,2),"")</f>
        <v/>
      </c>
      <c r="H15" s="11"/>
      <c r="I15" s="9"/>
      <c r="J15" s="12" t="str">
        <f aca="false">IF(OR(H15="",AND(I15&lt;&gt;"日薪",G15="")),"",IF(I15="日薪",H15,ROUND(G15*H15,0)))</f>
        <v/>
      </c>
      <c r="K15" s="8"/>
    </row>
    <row r="16" customFormat="false" ht="25.5" hidden="false" customHeight="true" outlineLevel="0" collapsed="false">
      <c r="A16" s="8" t="n">
        <v>11</v>
      </c>
      <c r="B16" s="9"/>
      <c r="C16" s="9"/>
      <c r="D16" s="10"/>
      <c r="E16" s="10"/>
      <c r="F16" s="9"/>
      <c r="G16" s="8" t="str">
        <f aca="false">IF(AND(D16&lt;&gt;"",E16&lt;&gt;""),ROUND((MOD(E16-D16,1)*24*60-N(F16))/60,2),"")</f>
        <v/>
      </c>
      <c r="H16" s="11"/>
      <c r="I16" s="9"/>
      <c r="J16" s="12" t="str">
        <f aca="false">IF(OR(H16="",AND(I16&lt;&gt;"日薪",G16="")),"",IF(I16="日薪",H16,ROUND(G16*H16,0)))</f>
        <v/>
      </c>
      <c r="K16" s="8"/>
    </row>
    <row r="17" customFormat="false" ht="25.5" hidden="false" customHeight="true" outlineLevel="0" collapsed="false">
      <c r="A17" s="8" t="n">
        <v>12</v>
      </c>
      <c r="B17" s="9"/>
      <c r="C17" s="9"/>
      <c r="D17" s="10"/>
      <c r="E17" s="10"/>
      <c r="F17" s="9"/>
      <c r="G17" s="8" t="str">
        <f aca="false">IF(AND(D17&lt;&gt;"",E17&lt;&gt;""),ROUND((MOD(E17-D17,1)*24*60-N(F17))/60,2),"")</f>
        <v/>
      </c>
      <c r="H17" s="11"/>
      <c r="I17" s="9"/>
      <c r="J17" s="12" t="str">
        <f aca="false">IF(OR(H17="",AND(I17&lt;&gt;"日薪",G17="")),"",IF(I17="日薪",H17,ROUND(G17*H17,0)))</f>
        <v/>
      </c>
      <c r="K17" s="8"/>
    </row>
    <row r="18" customFormat="false" ht="25.5" hidden="false" customHeight="true" outlineLevel="0" collapsed="false">
      <c r="A18" s="8" t="n">
        <v>13</v>
      </c>
      <c r="B18" s="9"/>
      <c r="C18" s="9"/>
      <c r="D18" s="10"/>
      <c r="E18" s="10"/>
      <c r="F18" s="9"/>
      <c r="G18" s="8" t="str">
        <f aca="false">IF(AND(D18&lt;&gt;"",E18&lt;&gt;""),ROUND((MOD(E18-D18,1)*24*60-N(F18))/60,2),"")</f>
        <v/>
      </c>
      <c r="H18" s="11"/>
      <c r="I18" s="9"/>
      <c r="J18" s="12" t="str">
        <f aca="false">IF(OR(H18="",AND(I18&lt;&gt;"日薪",G18="")),"",IF(I18="日薪",H18,ROUND(G18*H18,0)))</f>
        <v/>
      </c>
      <c r="K18" s="8"/>
    </row>
    <row r="19" customFormat="false" ht="25.5" hidden="false" customHeight="true" outlineLevel="0" collapsed="false">
      <c r="A19" s="8" t="n">
        <v>14</v>
      </c>
      <c r="B19" s="9"/>
      <c r="C19" s="9"/>
      <c r="D19" s="10"/>
      <c r="E19" s="10"/>
      <c r="F19" s="9"/>
      <c r="G19" s="8" t="str">
        <f aca="false">IF(AND(D19&lt;&gt;"",E19&lt;&gt;""),ROUND((MOD(E19-D19,1)*24*60-N(F19))/60,2),"")</f>
        <v/>
      </c>
      <c r="H19" s="11"/>
      <c r="I19" s="9"/>
      <c r="J19" s="12" t="str">
        <f aca="false">IF(OR(H19="",AND(I19&lt;&gt;"日薪",G19="")),"",IF(I19="日薪",H19,ROUND(G19*H19,0)))</f>
        <v/>
      </c>
      <c r="K19" s="8"/>
    </row>
    <row r="20" customFormat="false" ht="25.5" hidden="false" customHeight="true" outlineLevel="0" collapsed="false">
      <c r="A20" s="8" t="n">
        <v>15</v>
      </c>
      <c r="B20" s="9"/>
      <c r="C20" s="9"/>
      <c r="D20" s="10"/>
      <c r="E20" s="10"/>
      <c r="F20" s="9"/>
      <c r="G20" s="8" t="str">
        <f aca="false">IF(AND(D20&lt;&gt;"",E20&lt;&gt;""),ROUND((MOD(E20-D20,1)*24*60-N(F20))/60,2),"")</f>
        <v/>
      </c>
      <c r="H20" s="11"/>
      <c r="I20" s="9"/>
      <c r="J20" s="12" t="str">
        <f aca="false">IF(OR(H20="",AND(I20&lt;&gt;"日薪",G20="")),"",IF(I20="日薪",H20,ROUND(G20*H20,0)))</f>
        <v/>
      </c>
      <c r="K20" s="8"/>
    </row>
    <row r="21" customFormat="false" ht="25.5" hidden="false" customHeight="true" outlineLevel="0" collapsed="false">
      <c r="A21" s="8" t="n">
        <v>16</v>
      </c>
      <c r="B21" s="9"/>
      <c r="C21" s="9"/>
      <c r="D21" s="10"/>
      <c r="E21" s="10"/>
      <c r="F21" s="9"/>
      <c r="G21" s="8" t="str">
        <f aca="false">IF(AND(D21&lt;&gt;"",E21&lt;&gt;""),ROUND((MOD(E21-D21,1)*24*60-N(F21))/60,2),"")</f>
        <v/>
      </c>
      <c r="H21" s="11"/>
      <c r="I21" s="9"/>
      <c r="J21" s="12" t="str">
        <f aca="false">IF(OR(H21="",AND(I21&lt;&gt;"日薪",G21="")),"",IF(I21="日薪",H21,ROUND(G21*H21,0)))</f>
        <v/>
      </c>
      <c r="K21" s="8"/>
    </row>
    <row r="22" customFormat="false" ht="25.5" hidden="false" customHeight="true" outlineLevel="0" collapsed="false">
      <c r="A22" s="8" t="n">
        <v>17</v>
      </c>
      <c r="B22" s="9"/>
      <c r="C22" s="9"/>
      <c r="D22" s="10"/>
      <c r="E22" s="10"/>
      <c r="F22" s="9"/>
      <c r="G22" s="8" t="str">
        <f aca="false">IF(AND(D22&lt;&gt;"",E22&lt;&gt;""),ROUND((MOD(E22-D22,1)*24*60-N(F22))/60,2),"")</f>
        <v/>
      </c>
      <c r="H22" s="11"/>
      <c r="I22" s="9"/>
      <c r="J22" s="12" t="str">
        <f aca="false">IF(OR(H22="",AND(I22&lt;&gt;"日薪",G22="")),"",IF(I22="日薪",H22,ROUND(G22*H22,0)))</f>
        <v/>
      </c>
      <c r="K22" s="8"/>
    </row>
    <row r="23" customFormat="false" ht="25.5" hidden="false" customHeight="true" outlineLevel="0" collapsed="false">
      <c r="A23" s="8" t="n">
        <v>18</v>
      </c>
      <c r="B23" s="9"/>
      <c r="C23" s="9"/>
      <c r="D23" s="10"/>
      <c r="E23" s="10"/>
      <c r="F23" s="9"/>
      <c r="G23" s="8" t="str">
        <f aca="false">IF(AND(D23&lt;&gt;"",E23&lt;&gt;""),ROUND((MOD(E23-D23,1)*24*60-N(F23))/60,2),"")</f>
        <v/>
      </c>
      <c r="H23" s="11"/>
      <c r="I23" s="9"/>
      <c r="J23" s="12" t="str">
        <f aca="false">IF(OR(H23="",AND(I23&lt;&gt;"日薪",G23="")),"",IF(I23="日薪",H23,ROUND(G23*H23,0)))</f>
        <v/>
      </c>
      <c r="K23" s="8"/>
    </row>
    <row r="24" customFormat="false" ht="25.5" hidden="false" customHeight="true" outlineLevel="0" collapsed="false">
      <c r="A24" s="8" t="n">
        <v>19</v>
      </c>
      <c r="B24" s="9"/>
      <c r="C24" s="9"/>
      <c r="D24" s="10"/>
      <c r="E24" s="10"/>
      <c r="F24" s="9"/>
      <c r="G24" s="8" t="str">
        <f aca="false">IF(AND(D24&lt;&gt;"",E24&lt;&gt;""),ROUND((MOD(E24-D24,1)*24*60-N(F24))/60,2),"")</f>
        <v/>
      </c>
      <c r="H24" s="11"/>
      <c r="I24" s="9"/>
      <c r="J24" s="12" t="str">
        <f aca="false">IF(OR(H24="",AND(I24&lt;&gt;"日薪",G24="")),"",IF(I24="日薪",H24,ROUND(G24*H24,0)))</f>
        <v/>
      </c>
      <c r="K24" s="8"/>
    </row>
    <row r="25" customFormat="false" ht="25.5" hidden="false" customHeight="true" outlineLevel="0" collapsed="false">
      <c r="A25" s="8" t="n">
        <v>20</v>
      </c>
      <c r="B25" s="9"/>
      <c r="C25" s="9"/>
      <c r="D25" s="10"/>
      <c r="E25" s="10"/>
      <c r="F25" s="9"/>
      <c r="G25" s="8" t="str">
        <f aca="false">IF(AND(D25&lt;&gt;"",E25&lt;&gt;""),ROUND((MOD(E25-D25,1)*24*60-N(F25))/60,2),"")</f>
        <v/>
      </c>
      <c r="H25" s="11"/>
      <c r="I25" s="9"/>
      <c r="J25" s="12" t="str">
        <f aca="false">IF(OR(H25="",AND(I25&lt;&gt;"日薪",G25="")),"",IF(I25="日薪",H25,ROUND(G25*H25,0)))</f>
        <v/>
      </c>
      <c r="K25" s="8"/>
    </row>
    <row r="26" customFormat="false" ht="17.15" hidden="false" customHeight="true" outlineLevel="0" collapsed="false">
      <c r="A26" s="2" t="s">
        <v>21</v>
      </c>
      <c r="B26" s="2"/>
      <c r="C26" s="2"/>
      <c r="D26" s="2"/>
      <c r="E26" s="2"/>
      <c r="F26" s="2"/>
      <c r="G26" s="2" t="n">
        <f aca="false">SUM(G6:G25)</f>
        <v>8.5</v>
      </c>
      <c r="H26" s="2"/>
      <c r="I26" s="2"/>
      <c r="J26" s="13" t="n">
        <f aca="false">SUM(J6:J25)</f>
        <v>1666</v>
      </c>
      <c r="K26" s="2"/>
    </row>
    <row r="28" customFormat="false" ht="15" hidden="false" customHeight="false" outlineLevel="0" collapsed="false">
      <c r="A28" s="14" t="s">
        <v>22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30" customFormat="false" ht="33.75" hidden="false" customHeight="true" outlineLevel="0" collapsed="false">
      <c r="A30" s="15" t="s">
        <v>23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</row>
    <row r="31" customFormat="false" ht="15" hidden="false" customHeight="false" outlineLevel="0" collapsed="false">
      <c r="A31" s="16" t="s">
        <v>24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</row>
  </sheetData>
  <mergeCells count="11">
    <mergeCell ref="A1:K1"/>
    <mergeCell ref="B2:E2"/>
    <mergeCell ref="G2:H2"/>
    <mergeCell ref="J2:K2"/>
    <mergeCell ref="B3:E3"/>
    <mergeCell ref="G3:H3"/>
    <mergeCell ref="J3:K3"/>
    <mergeCell ref="A26:F26"/>
    <mergeCell ref="A28:K28"/>
    <mergeCell ref="A30:K30"/>
    <mergeCell ref="A31:K31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2026-10-25T08:55:10Z</dcterms:created>
  <dc:creator>openpyxl</dc:creator>
  <dc:description/>
  <dc:language>en-US</dc:language>
  <cp:lastModifiedBy/>
  <dcterms:modified xsi:type="dcterms:W3CDTF">2026-10-25T08:55:10Z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